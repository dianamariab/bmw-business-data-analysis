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iana\Desktop\"/>
    </mc:Choice>
  </mc:AlternateContent>
  <xr:revisionPtr revIDLastSave="0" documentId="13_ncr:1_{788F7CE5-2E0A-4A59-9CB7-58B69972145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opsis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4" l="1"/>
  <c r="D17" i="14"/>
  <c r="B17" i="14"/>
  <c r="G9" i="14"/>
  <c r="F9" i="14"/>
  <c r="E9" i="14"/>
  <c r="D9" i="14"/>
  <c r="C9" i="14"/>
  <c r="B9" i="14"/>
  <c r="F14" i="14" l="1"/>
  <c r="G15" i="14"/>
  <c r="G16" i="14"/>
  <c r="G14" i="14"/>
  <c r="F15" i="14"/>
  <c r="F16" i="14"/>
  <c r="B15" i="14"/>
  <c r="C15" i="14"/>
  <c r="C14" i="14"/>
  <c r="B16" i="14"/>
  <c r="B14" i="14"/>
  <c r="C16" i="14"/>
  <c r="E16" i="14"/>
  <c r="E14" i="14"/>
  <c r="D15" i="14"/>
  <c r="D16" i="14"/>
  <c r="D14" i="14"/>
  <c r="E15" i="14"/>
  <c r="H17" i="14"/>
  <c r="B18" i="14" s="1"/>
  <c r="B24" i="14" l="1"/>
  <c r="B23" i="14"/>
  <c r="C24" i="14"/>
  <c r="B22" i="14"/>
  <c r="C22" i="14"/>
  <c r="C23" i="14"/>
  <c r="D18" i="14"/>
  <c r="F18" i="14"/>
  <c r="D24" i="14" l="1"/>
  <c r="D22" i="14"/>
  <c r="E22" i="14"/>
  <c r="E24" i="14"/>
  <c r="D23" i="14"/>
  <c r="E23" i="14"/>
  <c r="F22" i="14"/>
  <c r="F24" i="14"/>
  <c r="G23" i="14"/>
  <c r="G24" i="14"/>
  <c r="F23" i="14"/>
  <c r="G22" i="14"/>
  <c r="G26" i="14" s="1"/>
  <c r="C26" i="14"/>
  <c r="B27" i="14"/>
  <c r="E27" i="14" l="1"/>
  <c r="F27" i="14"/>
  <c r="D26" i="14"/>
  <c r="B30" i="14" s="1"/>
  <c r="B32" i="14" l="1"/>
  <c r="B29" i="14"/>
  <c r="B31" i="14"/>
  <c r="B34" i="14"/>
  <c r="B33" i="14"/>
  <c r="E30" i="14" s="1"/>
  <c r="E31" i="14" l="1"/>
  <c r="E29" i="14"/>
</calcChain>
</file>

<file path=xl/sharedStrings.xml><?xml version="1.0" encoding="utf-8"?>
<sst xmlns="http://schemas.openxmlformats.org/spreadsheetml/2006/main" count="65" uniqueCount="37">
  <si>
    <t>Alternative proiecte de investit</t>
  </si>
  <si>
    <t>L</t>
  </si>
  <si>
    <t>U</t>
  </si>
  <si>
    <t>π</t>
  </si>
  <si>
    <t>Matricea Consecințelor</t>
  </si>
  <si>
    <t>C1 MAX</t>
  </si>
  <si>
    <t>C2 MIN</t>
  </si>
  <si>
    <t>C3 MAX</t>
  </si>
  <si>
    <t>PAS 1: Normalizarea matricei consecințelor</t>
  </si>
  <si>
    <t>PAS 2: Se construiește matricea normalizată ponderată</t>
  </si>
  <si>
    <t>A-</t>
  </si>
  <si>
    <t>PAS 3: Identificarea soluțiilor ideale pozitive și negative</t>
  </si>
  <si>
    <t>A+</t>
  </si>
  <si>
    <t>PAS 3: Gradul de separare al fiecărei alternative față de soluțiile ideale pozitive și negative</t>
  </si>
  <si>
    <t>d(+)1</t>
  </si>
  <si>
    <t>d(+)2</t>
  </si>
  <si>
    <t>d(+)3</t>
  </si>
  <si>
    <t>d(-)1</t>
  </si>
  <si>
    <t>d(-)2</t>
  </si>
  <si>
    <t>d(-)3</t>
  </si>
  <si>
    <t>CC1</t>
  </si>
  <si>
    <t>CC2</t>
  </si>
  <si>
    <t>CC3</t>
  </si>
  <si>
    <t>Decizia:</t>
  </si>
  <si>
    <t>A1</t>
  </si>
  <si>
    <t>A2</t>
  </si>
  <si>
    <t>A3</t>
  </si>
  <si>
    <t>Angajați</t>
  </si>
  <si>
    <t>Costuri</t>
  </si>
  <si>
    <t>Profitabilitate</t>
  </si>
  <si>
    <t>C1</t>
  </si>
  <si>
    <t>C2</t>
  </si>
  <si>
    <t>C3</t>
  </si>
  <si>
    <t>Angajati (mii)</t>
  </si>
  <si>
    <t xml:space="preserve">Profitabilitate </t>
  </si>
  <si>
    <t>Costuri (mii EUR)</t>
  </si>
  <si>
    <t>A2&gt;A1&gt;A3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</si>
</sst>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0"/>
      <name val="Calibri"/>
      <family val="2"/>
      <charset val="238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548235"/>
        <bgColor rgb="FF548235"/>
      </patternFill>
    </fill>
    <fill>
      <patternFill patternType="solid">
        <fgColor rgb="FFC6E0B4"/>
        <bgColor rgb="FFC6E0B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8" fillId="10" borderId="0" applyNumberFormat="0" applyBorder="0" applyAlignment="0" applyProtection="0"/>
    <xf numFmtId="0" fontId="1" fillId="11" borderId="0" applyNumberFormat="0" applyBorder="0" applyAlignment="0" applyProtection="0"/>
  </cellStyleXfs>
  <cellXfs count="72">
    <xf numFmtId="0" fontId="0" fillId="0" borderId="0" xfId="0"/>
    <xf numFmtId="0" fontId="0" fillId="2" borderId="12" xfId="0" applyFill="1" applyBorder="1"/>
    <xf numFmtId="0" fontId="0" fillId="2" borderId="14" xfId="0" applyFill="1" applyBorder="1"/>
    <xf numFmtId="0" fontId="0" fillId="2" borderId="17" xfId="0" applyFill="1" applyBorder="1"/>
    <xf numFmtId="0" fontId="3" fillId="0" borderId="0" xfId="0" applyFont="1"/>
    <xf numFmtId="0" fontId="6" fillId="4" borderId="1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5" fillId="7" borderId="0" xfId="0" applyFont="1" applyFill="1" applyAlignment="1">
      <alignment horizontal="center" vertical="center"/>
    </xf>
    <xf numFmtId="0" fontId="0" fillId="7" borderId="0" xfId="0" applyFill="1"/>
    <xf numFmtId="2" fontId="0" fillId="7" borderId="0" xfId="0" applyNumberFormat="1" applyFill="1"/>
    <xf numFmtId="2" fontId="0" fillId="0" borderId="1" xfId="0" applyNumberForma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7" fillId="0" borderId="14" xfId="0" applyNumberFormat="1" applyFont="1" applyBorder="1" applyAlignment="1">
      <alignment horizontal="center"/>
    </xf>
    <xf numFmtId="2" fontId="6" fillId="0" borderId="16" xfId="0" applyNumberFormat="1" applyFont="1" applyBorder="1" applyAlignment="1">
      <alignment horizontal="right"/>
    </xf>
    <xf numFmtId="166" fontId="6" fillId="0" borderId="17" xfId="0" applyNumberFormat="1" applyFont="1" applyBorder="1" applyAlignment="1">
      <alignment horizontal="right"/>
    </xf>
    <xf numFmtId="0" fontId="5" fillId="4" borderId="13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2" fontId="7" fillId="4" borderId="13" xfId="0" applyNumberFormat="1" applyFont="1" applyFill="1" applyBorder="1" applyAlignment="1">
      <alignment horizontal="center"/>
    </xf>
    <xf numFmtId="2" fontId="7" fillId="4" borderId="1" xfId="0" applyNumberFormat="1" applyFont="1" applyFill="1" applyBorder="1" applyAlignment="1">
      <alignment horizontal="center"/>
    </xf>
    <xf numFmtId="2" fontId="6" fillId="3" borderId="15" xfId="0" applyNumberFormat="1" applyFont="1" applyFill="1" applyBorder="1" applyAlignment="1">
      <alignment horizontal="right"/>
    </xf>
    <xf numFmtId="2" fontId="6" fillId="3" borderId="16" xfId="0" applyNumberFormat="1" applyFont="1" applyFill="1" applyBorder="1" applyAlignment="1">
      <alignment horizontal="right"/>
    </xf>
    <xf numFmtId="2" fontId="7" fillId="3" borderId="8" xfId="0" applyNumberFormat="1" applyFont="1" applyFill="1" applyBorder="1"/>
    <xf numFmtId="2" fontId="0" fillId="0" borderId="19" xfId="0" applyNumberForma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0" fillId="0" borderId="1" xfId="0" applyNumberFormat="1" applyBorder="1"/>
    <xf numFmtId="166" fontId="5" fillId="8" borderId="1" xfId="0" applyNumberFormat="1" applyFont="1" applyFill="1" applyBorder="1"/>
    <xf numFmtId="0" fontId="6" fillId="4" borderId="9" xfId="0" applyFont="1" applyFill="1" applyBorder="1"/>
    <xf numFmtId="0" fontId="6" fillId="4" borderId="18" xfId="0" applyFont="1" applyFill="1" applyBorder="1"/>
    <xf numFmtId="1" fontId="7" fillId="6" borderId="1" xfId="0" applyNumberFormat="1" applyFont="1" applyFill="1" applyBorder="1"/>
    <xf numFmtId="0" fontId="2" fillId="4" borderId="10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2" fontId="0" fillId="2" borderId="12" xfId="0" applyNumberFormat="1" applyFill="1" applyBorder="1"/>
    <xf numFmtId="2" fontId="0" fillId="2" borderId="14" xfId="0" applyNumberFormat="1" applyFill="1" applyBorder="1"/>
    <xf numFmtId="2" fontId="0" fillId="2" borderId="17" xfId="0" applyNumberFormat="1" applyFill="1" applyBorder="1"/>
    <xf numFmtId="0" fontId="0" fillId="4" borderId="10" xfId="0" applyFill="1" applyBorder="1"/>
    <xf numFmtId="0" fontId="0" fillId="4" borderId="13" xfId="0" applyFill="1" applyBorder="1"/>
    <xf numFmtId="0" fontId="0" fillId="4" borderId="15" xfId="0" applyFill="1" applyBorder="1"/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6" fillId="0" borderId="13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2" fillId="12" borderId="0" xfId="0" applyFont="1" applyFill="1" applyAlignment="1">
      <alignment horizontal="center"/>
    </xf>
    <xf numFmtId="0" fontId="2" fillId="12" borderId="0" xfId="0" applyFont="1" applyFill="1" applyAlignment="1">
      <alignment horizontal="center" vertical="center"/>
    </xf>
    <xf numFmtId="0" fontId="2" fillId="12" borderId="20" xfId="0" applyFont="1" applyFill="1" applyBorder="1" applyAlignment="1">
      <alignment horizontal="center"/>
    </xf>
    <xf numFmtId="0" fontId="2" fillId="12" borderId="21" xfId="0" applyFont="1" applyFill="1" applyBorder="1" applyAlignment="1">
      <alignment horizontal="center"/>
    </xf>
    <xf numFmtId="0" fontId="2" fillId="12" borderId="19" xfId="0" applyFont="1" applyFill="1" applyBorder="1" applyAlignment="1">
      <alignment horizontal="center"/>
    </xf>
    <xf numFmtId="0" fontId="2" fillId="12" borderId="22" xfId="0" applyFont="1" applyFill="1" applyBorder="1" applyAlignment="1">
      <alignment horizontal="center"/>
    </xf>
    <xf numFmtId="0" fontId="8" fillId="13" borderId="23" xfId="1" applyFill="1" applyBorder="1"/>
    <xf numFmtId="0" fontId="1" fillId="14" borderId="23" xfId="2" applyFill="1" applyBorder="1" applyAlignment="1">
      <alignment horizontal="left"/>
    </xf>
    <xf numFmtId="0" fontId="1" fillId="14" borderId="23" xfId="2" applyFill="1" applyBorder="1" applyAlignment="1">
      <alignment horizontal="left"/>
    </xf>
    <xf numFmtId="0" fontId="8" fillId="13" borderId="24" xfId="1" applyFill="1" applyBorder="1"/>
    <xf numFmtId="0" fontId="1" fillId="14" borderId="25" xfId="2" applyFill="1" applyBorder="1" applyAlignment="1"/>
    <xf numFmtId="0" fontId="1" fillId="14" borderId="26" xfId="2" applyFill="1" applyBorder="1" applyAlignment="1"/>
    <xf numFmtId="0" fontId="1" fillId="14" borderId="27" xfId="2" applyFill="1" applyBorder="1" applyAlignment="1"/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51C77-8758-427C-BCFC-08EE4FE149E9}">
  <dimension ref="A1:O34"/>
  <sheetViews>
    <sheetView tabSelected="1" zoomScale="60" zoomScaleNormal="80" workbookViewId="0">
      <selection activeCell="I36" sqref="I36"/>
    </sheetView>
  </sheetViews>
  <sheetFormatPr defaultRowHeight="14.4" x14ac:dyDescent="0.3"/>
  <cols>
    <col min="1" max="1" width="27.109375" bestFit="1" customWidth="1"/>
    <col min="2" max="2" width="14" customWidth="1"/>
    <col min="3" max="3" width="12.77734375" customWidth="1"/>
    <col min="4" max="4" width="13.88671875" customWidth="1"/>
    <col min="5" max="5" width="14.44140625" customWidth="1"/>
    <col min="7" max="7" width="8.88671875" customWidth="1"/>
    <col min="11" max="11" width="12.21875" customWidth="1"/>
  </cols>
  <sheetData>
    <row r="1" spans="1:8" ht="15" thickBot="1" x14ac:dyDescent="0.35">
      <c r="A1" s="59" t="s">
        <v>4</v>
      </c>
      <c r="B1" s="59"/>
      <c r="C1" s="59"/>
      <c r="D1" s="59"/>
      <c r="E1" s="59"/>
      <c r="F1" s="59"/>
      <c r="G1" s="59"/>
    </row>
    <row r="2" spans="1:8" x14ac:dyDescent="0.3">
      <c r="A2" s="45" t="s">
        <v>0</v>
      </c>
      <c r="B2" s="49" t="s">
        <v>27</v>
      </c>
      <c r="C2" s="49"/>
      <c r="D2" s="49" t="s">
        <v>28</v>
      </c>
      <c r="E2" s="49"/>
      <c r="F2" s="49" t="s">
        <v>29</v>
      </c>
      <c r="G2" s="50"/>
    </row>
    <row r="3" spans="1:8" x14ac:dyDescent="0.3">
      <c r="A3" s="46"/>
      <c r="B3" s="47" t="s">
        <v>5</v>
      </c>
      <c r="C3" s="47"/>
      <c r="D3" s="47" t="s">
        <v>6</v>
      </c>
      <c r="E3" s="47"/>
      <c r="F3" s="47" t="s">
        <v>7</v>
      </c>
      <c r="G3" s="48"/>
    </row>
    <row r="4" spans="1:8" x14ac:dyDescent="0.3">
      <c r="A4" s="46"/>
      <c r="B4" s="5" t="s">
        <v>1</v>
      </c>
      <c r="C4" s="5" t="s">
        <v>2</v>
      </c>
      <c r="D4" s="5" t="s">
        <v>1</v>
      </c>
      <c r="E4" s="5" t="s">
        <v>2</v>
      </c>
      <c r="F4" s="5" t="s">
        <v>1</v>
      </c>
      <c r="G4" s="6" t="s">
        <v>2</v>
      </c>
    </row>
    <row r="5" spans="1:8" x14ac:dyDescent="0.3">
      <c r="A5" s="7" t="s">
        <v>24</v>
      </c>
      <c r="B5" s="58">
        <v>65</v>
      </c>
      <c r="C5" s="58">
        <v>70</v>
      </c>
      <c r="D5" s="58">
        <v>58</v>
      </c>
      <c r="E5" s="58">
        <v>62</v>
      </c>
      <c r="F5" s="57">
        <v>80</v>
      </c>
      <c r="G5" s="57">
        <v>90</v>
      </c>
    </row>
    <row r="6" spans="1:8" x14ac:dyDescent="0.3">
      <c r="A6" s="7" t="s">
        <v>25</v>
      </c>
      <c r="B6" s="58">
        <v>9</v>
      </c>
      <c r="C6" s="58">
        <v>11</v>
      </c>
      <c r="D6" s="58">
        <v>8</v>
      </c>
      <c r="E6" s="58">
        <v>10</v>
      </c>
      <c r="F6" s="57">
        <v>55</v>
      </c>
      <c r="G6" s="57">
        <v>65</v>
      </c>
    </row>
    <row r="7" spans="1:8" x14ac:dyDescent="0.3">
      <c r="A7" s="7" t="s">
        <v>26</v>
      </c>
      <c r="B7" s="58">
        <v>35</v>
      </c>
      <c r="C7" s="58">
        <v>40</v>
      </c>
      <c r="D7" s="58">
        <v>30</v>
      </c>
      <c r="E7" s="58">
        <v>35</v>
      </c>
      <c r="F7" s="57">
        <v>60</v>
      </c>
      <c r="G7" s="57">
        <v>75</v>
      </c>
    </row>
    <row r="8" spans="1:8" ht="15" thickBot="1" x14ac:dyDescent="0.35">
      <c r="A8" s="8" t="s">
        <v>3</v>
      </c>
      <c r="B8" s="30">
        <v>0.25</v>
      </c>
      <c r="C8" s="30">
        <v>0.25</v>
      </c>
      <c r="D8" s="30">
        <v>0.3</v>
      </c>
      <c r="E8" s="30">
        <v>0.3</v>
      </c>
      <c r="F8" s="30">
        <v>0.45</v>
      </c>
      <c r="G8" s="31">
        <v>0.45</v>
      </c>
    </row>
    <row r="9" spans="1:8" x14ac:dyDescent="0.3">
      <c r="A9" s="4"/>
      <c r="B9" s="32">
        <f t="shared" ref="B9:G9" si="0">(B5^2+B6^2+B7^2)</f>
        <v>5531</v>
      </c>
      <c r="C9" s="32">
        <f t="shared" si="0"/>
        <v>6621</v>
      </c>
      <c r="D9" s="32">
        <f t="shared" si="0"/>
        <v>4328</v>
      </c>
      <c r="E9" s="32">
        <f t="shared" si="0"/>
        <v>5169</v>
      </c>
      <c r="F9" s="32">
        <f t="shared" si="0"/>
        <v>13025</v>
      </c>
      <c r="G9" s="32">
        <f t="shared" si="0"/>
        <v>17950</v>
      </c>
    </row>
    <row r="11" spans="1:8" ht="15" thickBot="1" x14ac:dyDescent="0.35">
      <c r="A11" s="59" t="s">
        <v>8</v>
      </c>
      <c r="B11" s="59"/>
      <c r="C11" s="59"/>
      <c r="D11" s="59"/>
      <c r="E11" s="59"/>
      <c r="F11" s="59"/>
      <c r="G11" s="59"/>
    </row>
    <row r="12" spans="1:8" ht="57.6" customHeight="1" x14ac:dyDescent="0.3">
      <c r="B12" s="42" t="s">
        <v>5</v>
      </c>
      <c r="C12" s="43"/>
      <c r="D12" s="43" t="s">
        <v>6</v>
      </c>
      <c r="E12" s="43"/>
      <c r="F12" s="43" t="s">
        <v>7</v>
      </c>
      <c r="G12" s="44"/>
    </row>
    <row r="13" spans="1:8" x14ac:dyDescent="0.3">
      <c r="B13" s="18" t="s">
        <v>1</v>
      </c>
      <c r="C13" s="19" t="s">
        <v>2</v>
      </c>
      <c r="D13" s="19" t="s">
        <v>1</v>
      </c>
      <c r="E13" s="19" t="s">
        <v>2</v>
      </c>
      <c r="F13" s="19" t="s">
        <v>1</v>
      </c>
      <c r="G13" s="20" t="s">
        <v>2</v>
      </c>
    </row>
    <row r="14" spans="1:8" x14ac:dyDescent="0.3">
      <c r="A14" s="27" t="s">
        <v>24</v>
      </c>
      <c r="B14" s="26">
        <f>B5/SQRT($B$9+$C$9)</f>
        <v>0.58964344678659875</v>
      </c>
      <c r="C14" s="12">
        <f>C5/SQRT($B$9+$C$9)</f>
        <v>0.6350006350009525</v>
      </c>
      <c r="D14" s="12">
        <f>D5/SQRT($D$9+$E$9)</f>
        <v>0.59516142448596854</v>
      </c>
      <c r="E14" s="12">
        <f>E5/SQRT($D$9+$E$9)</f>
        <v>0.6362070399677594</v>
      </c>
      <c r="F14" s="12">
        <f>F5/SQRT($F$9+$G$9)</f>
        <v>0.45455279178170888</v>
      </c>
      <c r="G14" s="14">
        <f>G5/SQRT($F$9+$G$9)</f>
        <v>0.51137189075442246</v>
      </c>
      <c r="H14" s="9"/>
    </row>
    <row r="15" spans="1:8" x14ac:dyDescent="0.3">
      <c r="A15" s="27" t="s">
        <v>25</v>
      </c>
      <c r="B15" s="26">
        <f t="shared" ref="B15:C16" si="1">B6/SQRT($B$9+$C$9)</f>
        <v>8.1642938785836741E-2</v>
      </c>
      <c r="C15" s="12">
        <f t="shared" si="1"/>
        <v>9.9785814071578244E-2</v>
      </c>
      <c r="D15" s="12">
        <f t="shared" ref="D15:E16" si="2">D6/SQRT($D$9+$E$9)</f>
        <v>8.2091230963581868E-2</v>
      </c>
      <c r="E15" s="12">
        <f t="shared" si="2"/>
        <v>0.10261403870447733</v>
      </c>
      <c r="F15" s="12">
        <f t="shared" ref="F15:G16" si="3">F6/SQRT($F$9+$G$9)</f>
        <v>0.31250504434992488</v>
      </c>
      <c r="G15" s="14">
        <f t="shared" si="3"/>
        <v>0.36932414332263847</v>
      </c>
      <c r="H15" s="10"/>
    </row>
    <row r="16" spans="1:8" ht="15" thickBot="1" x14ac:dyDescent="0.35">
      <c r="A16" s="27" t="s">
        <v>26</v>
      </c>
      <c r="B16" s="26">
        <f t="shared" si="1"/>
        <v>0.31750031750047625</v>
      </c>
      <c r="C16" s="12">
        <f t="shared" si="1"/>
        <v>0.36285750571483</v>
      </c>
      <c r="D16" s="12">
        <f t="shared" si="2"/>
        <v>0.30784211611343199</v>
      </c>
      <c r="E16" s="12">
        <f t="shared" si="2"/>
        <v>0.35914913546567068</v>
      </c>
      <c r="F16" s="12">
        <f t="shared" si="3"/>
        <v>0.34091459383628164</v>
      </c>
      <c r="G16" s="14">
        <f t="shared" si="3"/>
        <v>0.42614324229535205</v>
      </c>
      <c r="H16" s="11"/>
    </row>
    <row r="17" spans="1:15" ht="15" thickBot="1" x14ac:dyDescent="0.35">
      <c r="B17" s="21">
        <f>(B8+C8)/2</f>
        <v>0.25</v>
      </c>
      <c r="C17" s="13"/>
      <c r="D17" s="22">
        <f>(D8+E8)/2</f>
        <v>0.3</v>
      </c>
      <c r="E17" s="13"/>
      <c r="F17" s="22">
        <f>(F8+G8)/2</f>
        <v>0.45</v>
      </c>
      <c r="G17" s="15"/>
      <c r="H17" s="25">
        <f>B17+D17+F17</f>
        <v>1</v>
      </c>
    </row>
    <row r="18" spans="1:15" ht="15" thickBot="1" x14ac:dyDescent="0.35">
      <c r="B18" s="23">
        <f>B17/$H$17</f>
        <v>0.25</v>
      </c>
      <c r="C18" s="16"/>
      <c r="D18" s="24">
        <f>D17/$H$17</f>
        <v>0.3</v>
      </c>
      <c r="E18" s="16"/>
      <c r="F18" s="24">
        <f>F17/$H$17</f>
        <v>0.45</v>
      </c>
      <c r="G18" s="17"/>
      <c r="H18" s="4"/>
    </row>
    <row r="19" spans="1:15" ht="15" thickBot="1" x14ac:dyDescent="0.35">
      <c r="A19" s="60" t="s">
        <v>9</v>
      </c>
      <c r="B19" s="60"/>
      <c r="C19" s="60"/>
      <c r="D19" s="60"/>
      <c r="E19" s="60"/>
      <c r="F19" s="60"/>
      <c r="G19" s="60"/>
    </row>
    <row r="20" spans="1:15" ht="15" thickBot="1" x14ac:dyDescent="0.35">
      <c r="B20" s="42" t="s">
        <v>5</v>
      </c>
      <c r="C20" s="43"/>
      <c r="D20" s="43" t="s">
        <v>6</v>
      </c>
      <c r="E20" s="43"/>
      <c r="F20" s="43" t="s">
        <v>7</v>
      </c>
      <c r="G20" s="44"/>
      <c r="K20" s="65" t="s">
        <v>30</v>
      </c>
      <c r="L20" s="66" t="s">
        <v>33</v>
      </c>
      <c r="M20" s="69"/>
      <c r="N20" s="70"/>
      <c r="O20" s="71"/>
    </row>
    <row r="21" spans="1:15" ht="15" thickBot="1" x14ac:dyDescent="0.35">
      <c r="B21" s="18" t="s">
        <v>1</v>
      </c>
      <c r="C21" s="19" t="s">
        <v>2</v>
      </c>
      <c r="D21" s="19" t="s">
        <v>1</v>
      </c>
      <c r="E21" s="19" t="s">
        <v>2</v>
      </c>
      <c r="F21" s="19" t="s">
        <v>1</v>
      </c>
      <c r="G21" s="20" t="s">
        <v>2</v>
      </c>
      <c r="K21" s="65" t="s">
        <v>31</v>
      </c>
      <c r="L21" s="67" t="s">
        <v>35</v>
      </c>
      <c r="M21" s="67"/>
      <c r="N21" s="67"/>
      <c r="O21" s="67"/>
    </row>
    <row r="22" spans="1:15" ht="15" thickBot="1" x14ac:dyDescent="0.35">
      <c r="A22" s="27" t="s">
        <v>24</v>
      </c>
      <c r="B22" s="28">
        <f>B14*$B$18</f>
        <v>0.14741086169664969</v>
      </c>
      <c r="C22" s="28">
        <f>C14*$B$18</f>
        <v>0.15875015875023812</v>
      </c>
      <c r="D22" s="28">
        <f>D14*$D$18</f>
        <v>0.17854842734579054</v>
      </c>
      <c r="E22" s="28">
        <f>E14*$D$18</f>
        <v>0.19086211199032782</v>
      </c>
      <c r="F22" s="28">
        <f>F14*$F$18</f>
        <v>0.204548756301769</v>
      </c>
      <c r="G22" s="28">
        <f>G14*$F$18</f>
        <v>0.23011735083949011</v>
      </c>
      <c r="K22" s="68" t="s">
        <v>32</v>
      </c>
      <c r="L22" s="66" t="s">
        <v>34</v>
      </c>
      <c r="M22" s="69"/>
      <c r="N22" s="70"/>
      <c r="O22" s="71"/>
    </row>
    <row r="23" spans="1:15" x14ac:dyDescent="0.3">
      <c r="A23" s="27" t="s">
        <v>25</v>
      </c>
      <c r="B23" s="28">
        <f t="shared" ref="B23:C24" si="4">B15*$B$18</f>
        <v>2.0410734696459185E-2</v>
      </c>
      <c r="C23" s="28">
        <f t="shared" si="4"/>
        <v>2.4946453517894561E-2</v>
      </c>
      <c r="D23" s="28">
        <f t="shared" ref="D23:E24" si="5">D15*$D$18</f>
        <v>2.4627369289074559E-2</v>
      </c>
      <c r="E23" s="28">
        <f t="shared" si="5"/>
        <v>3.0784211611343197E-2</v>
      </c>
      <c r="F23" s="28">
        <f t="shared" ref="F23:G24" si="6">F15*$F$18</f>
        <v>0.14062726995746619</v>
      </c>
      <c r="G23" s="28">
        <f t="shared" si="6"/>
        <v>0.16619586449518731</v>
      </c>
    </row>
    <row r="24" spans="1:15" x14ac:dyDescent="0.3">
      <c r="A24" s="27" t="s">
        <v>26</v>
      </c>
      <c r="B24" s="28">
        <f t="shared" si="4"/>
        <v>7.9375079375119062E-2</v>
      </c>
      <c r="C24" s="28">
        <f t="shared" si="4"/>
        <v>9.0714376428707499E-2</v>
      </c>
      <c r="D24" s="28">
        <f t="shared" si="5"/>
        <v>9.2352634834029598E-2</v>
      </c>
      <c r="E24" s="28">
        <f t="shared" si="5"/>
        <v>0.1077447406397012</v>
      </c>
      <c r="F24" s="28">
        <f t="shared" si="6"/>
        <v>0.15341156722632673</v>
      </c>
      <c r="G24" s="28">
        <f t="shared" si="6"/>
        <v>0.19176445903290842</v>
      </c>
    </row>
    <row r="25" spans="1:15" x14ac:dyDescent="0.3">
      <c r="A25" s="61" t="s">
        <v>11</v>
      </c>
      <c r="B25" s="62"/>
      <c r="C25" s="62"/>
      <c r="D25" s="62"/>
      <c r="E25" s="62"/>
      <c r="F25" s="62"/>
      <c r="G25" s="63"/>
    </row>
    <row r="26" spans="1:15" x14ac:dyDescent="0.3">
      <c r="A26" s="27" t="s">
        <v>12</v>
      </c>
      <c r="B26" s="29"/>
      <c r="C26" s="29">
        <f>MAX(C22:C24)</f>
        <v>0.15875015875023812</v>
      </c>
      <c r="D26" s="29">
        <f>MIN(D22:D24)</f>
        <v>2.4627369289074559E-2</v>
      </c>
      <c r="E26" s="29"/>
      <c r="F26" s="29"/>
      <c r="G26" s="29">
        <f>MAX(G22:G24)</f>
        <v>0.23011735083949011</v>
      </c>
    </row>
    <row r="27" spans="1:15" x14ac:dyDescent="0.3">
      <c r="A27" s="27" t="s">
        <v>10</v>
      </c>
      <c r="B27" s="29">
        <f>MIN(B22:B24)</f>
        <v>2.0410734696459185E-2</v>
      </c>
      <c r="C27" s="29"/>
      <c r="D27" s="29"/>
      <c r="E27" s="29">
        <f>MAX(E22:E24)</f>
        <v>0.19086211199032782</v>
      </c>
      <c r="F27" s="29">
        <f>MIN(F22:F24)</f>
        <v>0.14062726995746619</v>
      </c>
      <c r="G27" s="29"/>
    </row>
    <row r="28" spans="1:15" ht="15" thickBot="1" x14ac:dyDescent="0.35">
      <c r="A28" s="64" t="s">
        <v>13</v>
      </c>
      <c r="B28" s="64"/>
      <c r="C28" s="64"/>
      <c r="D28" s="64"/>
      <c r="E28" s="64"/>
      <c r="F28" s="64"/>
      <c r="G28" s="64"/>
    </row>
    <row r="29" spans="1:15" x14ac:dyDescent="0.3">
      <c r="A29" s="33" t="s">
        <v>14</v>
      </c>
      <c r="B29" s="36">
        <f>SQRT((B22-C26)^2+(E22-D26)^2+(F22-G26)^2)</f>
        <v>0.16857141621655725</v>
      </c>
      <c r="D29" s="39" t="s">
        <v>20</v>
      </c>
      <c r="E29" s="1">
        <f>B32/(B29+B32)</f>
        <v>0.47560932437037945</v>
      </c>
    </row>
    <row r="30" spans="1:15" x14ac:dyDescent="0.3">
      <c r="A30" s="34" t="s">
        <v>15</v>
      </c>
      <c r="B30" s="37">
        <f>SQRT((B23-C26)^2+(E23-D26)^2+(F23-G26)^2)</f>
        <v>0.16487624914214821</v>
      </c>
      <c r="D30" s="40" t="s">
        <v>21</v>
      </c>
      <c r="E30" s="2">
        <f>B33/(B30+B33)</f>
        <v>0.49261688338149451</v>
      </c>
    </row>
    <row r="31" spans="1:15" ht="15" thickBot="1" x14ac:dyDescent="0.35">
      <c r="A31" s="34" t="s">
        <v>16</v>
      </c>
      <c r="B31" s="37">
        <f>SQRT((B24-C26)^2+(E24-D26)^2+(F24-G26)^2)</f>
        <v>0.13817625659191185</v>
      </c>
      <c r="D31" s="41" t="s">
        <v>22</v>
      </c>
      <c r="E31" s="3">
        <f>B34/(B31+B34)</f>
        <v>0.4263766871947442</v>
      </c>
    </row>
    <row r="32" spans="1:15" ht="15" thickBot="1" x14ac:dyDescent="0.35">
      <c r="A32" s="34" t="s">
        <v>17</v>
      </c>
      <c r="B32" s="37">
        <f>SQRT((C22-B27)^2+(D22-E27)^2+(F22-F27)^2)</f>
        <v>0.15289008958569314</v>
      </c>
    </row>
    <row r="33" spans="1:6" x14ac:dyDescent="0.3">
      <c r="A33" s="34" t="s">
        <v>18</v>
      </c>
      <c r="B33" s="37">
        <f>SQRT((B23-B27)^2+(E23-E27)^2+(F23-F27)^2)</f>
        <v>0.16007790037898462</v>
      </c>
      <c r="D33" s="54" t="s">
        <v>23</v>
      </c>
      <c r="E33" s="55"/>
      <c r="F33" s="56"/>
    </row>
    <row r="34" spans="1:6" ht="15" thickBot="1" x14ac:dyDescent="0.35">
      <c r="A34" s="35" t="s">
        <v>19</v>
      </c>
      <c r="B34" s="38">
        <f>SQRT((B24-B27)^2+(E24-E27)^2+(F24-F27)^2)</f>
        <v>0.10270700862297746</v>
      </c>
      <c r="D34" s="51" t="s">
        <v>36</v>
      </c>
      <c r="E34" s="52"/>
      <c r="F34" s="53"/>
    </row>
  </sheetData>
  <mergeCells count="21">
    <mergeCell ref="L21:O21"/>
    <mergeCell ref="D34:F34"/>
    <mergeCell ref="D33:F33"/>
    <mergeCell ref="A19:G19"/>
    <mergeCell ref="B20:C20"/>
    <mergeCell ref="D20:E20"/>
    <mergeCell ref="F20:G20"/>
    <mergeCell ref="A25:G25"/>
    <mergeCell ref="A28:G28"/>
    <mergeCell ref="A1:G1"/>
    <mergeCell ref="A11:G11"/>
    <mergeCell ref="B12:C12"/>
    <mergeCell ref="D12:E12"/>
    <mergeCell ref="F12:G12"/>
    <mergeCell ref="A2:A4"/>
    <mergeCell ref="B3:C3"/>
    <mergeCell ref="D3:E3"/>
    <mergeCell ref="F3:G3"/>
    <mergeCell ref="B2:C2"/>
    <mergeCell ref="D2:E2"/>
    <mergeCell ref="F2:G2"/>
  </mergeCells>
  <printOptions gridLine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Goidescu</dc:creator>
  <cp:lastModifiedBy>Diana-Maria Bănceanu</cp:lastModifiedBy>
  <dcterms:created xsi:type="dcterms:W3CDTF">2015-06-05T18:17:20Z</dcterms:created>
  <dcterms:modified xsi:type="dcterms:W3CDTF">2026-01-03T22:15:46Z</dcterms:modified>
</cp:coreProperties>
</file>